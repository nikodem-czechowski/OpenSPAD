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 files\Documents\KiCad Projects\OpenSPAD\out\"/>
    </mc:Choice>
  </mc:AlternateContent>
  <bookViews>
    <workbookView xWindow="0" yWindow="0" windowWidth="28800" windowHeight="12435"/>
  </bookViews>
  <sheets>
    <sheet name="OpenSPAD_BoM" sheetId="1" r:id="rId1"/>
  </sheets>
  <definedNames>
    <definedName name="_xlnm._FilterDatabase" localSheetId="0" hidden="1">OpenSPAD_BoM!$A$1:$I$48</definedName>
  </definedNames>
  <calcPr calcId="152511"/>
  <fileRecoveryPr repairLoad="1"/>
</workbook>
</file>

<file path=xl/calcChain.xml><?xml version="1.0" encoding="utf-8"?>
<calcChain xmlns="http://schemas.openxmlformats.org/spreadsheetml/2006/main">
  <c r="H8" i="1" l="1"/>
  <c r="H12" i="1"/>
  <c r="H41" i="1"/>
  <c r="H11" i="1"/>
  <c r="H6" i="1"/>
  <c r="H19" i="1"/>
  <c r="H40" i="1"/>
  <c r="H31" i="1"/>
  <c r="H7" i="1"/>
  <c r="H24" i="1"/>
  <c r="H20" i="1"/>
  <c r="H16" i="1"/>
  <c r="H10" i="1"/>
  <c r="H15" i="1"/>
  <c r="H23" i="1"/>
  <c r="H5" i="1"/>
  <c r="H27" i="1"/>
  <c r="H18" i="1"/>
  <c r="H17" i="1"/>
  <c r="H25" i="1"/>
  <c r="H44" i="1"/>
  <c r="H4" i="1"/>
  <c r="H3" i="1"/>
  <c r="H14" i="1"/>
  <c r="H29" i="1"/>
  <c r="H28" i="1"/>
  <c r="H2" i="1"/>
  <c r="H22" i="1"/>
  <c r="H21" i="1"/>
  <c r="H26" i="1"/>
  <c r="H38" i="1"/>
  <c r="H37" i="1"/>
  <c r="H36" i="1"/>
  <c r="H48" i="1"/>
  <c r="H47" i="1"/>
  <c r="H46" i="1"/>
  <c r="H45" i="1"/>
  <c r="H43" i="1"/>
  <c r="H35" i="1"/>
  <c r="H33" i="1"/>
  <c r="H32" i="1"/>
  <c r="H30" i="1"/>
  <c r="H9" i="1"/>
  <c r="H42" i="1"/>
  <c r="K1" i="1" l="1"/>
</calcChain>
</file>

<file path=xl/sharedStrings.xml><?xml version="1.0" encoding="utf-8"?>
<sst xmlns="http://schemas.openxmlformats.org/spreadsheetml/2006/main" count="198" uniqueCount="151">
  <si>
    <t>Oznaczenie</t>
  </si>
  <si>
    <t>Obudowa</t>
  </si>
  <si>
    <t>R28</t>
  </si>
  <si>
    <t>R_1206_3216Metric</t>
  </si>
  <si>
    <t>R27,R26,R25,R24,R20,R19,R16,R13</t>
  </si>
  <si>
    <t>R_0805_2012Metric</t>
  </si>
  <si>
    <t>D12,D11,D10,D9</t>
  </si>
  <si>
    <t>LED_D3.0mm_Horizontal_O1.27mm_Z6.0mm</t>
  </si>
  <si>
    <t>LED</t>
  </si>
  <si>
    <t>C_1206_3216Metric</t>
  </si>
  <si>
    <t>100n</t>
  </si>
  <si>
    <t>IC12</t>
  </si>
  <si>
    <t>SOT-23-6</t>
  </si>
  <si>
    <t>TPS562200</t>
  </si>
  <si>
    <t>R23,R22,R10,R9,R12</t>
  </si>
  <si>
    <t>4,7k</t>
  </si>
  <si>
    <t>L2</t>
  </si>
  <si>
    <t>L_TDK_SLF7055</t>
  </si>
  <si>
    <t>3,3 uH</t>
  </si>
  <si>
    <t>C35,C34</t>
  </si>
  <si>
    <t>22u/6.3V</t>
  </si>
  <si>
    <t>R21</t>
  </si>
  <si>
    <t>IC8,IC7</t>
  </si>
  <si>
    <t>SOP50P490X110-10N</t>
  </si>
  <si>
    <t>DS1124U-25+</t>
  </si>
  <si>
    <t>IC2</t>
  </si>
  <si>
    <t>SOIC127P600X175-8N</t>
  </si>
  <si>
    <t>TLV3501AIDR</t>
  </si>
  <si>
    <t>IC1</t>
  </si>
  <si>
    <t>QFN80P400X400X80-13N-D</t>
  </si>
  <si>
    <t>MAX1932ETC+</t>
  </si>
  <si>
    <t>D1</t>
  </si>
  <si>
    <t>SOD3716X135N</t>
  </si>
  <si>
    <t>BAT46W-E3-08</t>
  </si>
  <si>
    <t>D8,D7,D6,D5</t>
  </si>
  <si>
    <t>LED_0805_2012Metric</t>
  </si>
  <si>
    <t>Q5</t>
  </si>
  <si>
    <t>TO-220-3_Horizontal_TabDown</t>
  </si>
  <si>
    <t>IRF540N</t>
  </si>
  <si>
    <t>IC5</t>
  </si>
  <si>
    <t>SOIC-8_3.9x4.9mm_P1.27mm</t>
  </si>
  <si>
    <t>MAX6225</t>
  </si>
  <si>
    <t>C30,C14,C12,C10,C8</t>
  </si>
  <si>
    <t>C_Radial_D5.0mm_H11.0mm_P2.00mm</t>
  </si>
  <si>
    <t>10u</t>
  </si>
  <si>
    <t>J2</t>
  </si>
  <si>
    <t>PinHeader_1x02_P2.54mm_Vertical</t>
  </si>
  <si>
    <t>Conn_01x02_Female</t>
  </si>
  <si>
    <t>IC11</t>
  </si>
  <si>
    <t>TO-92_Inline</t>
  </si>
  <si>
    <t>LM35-LP</t>
  </si>
  <si>
    <t>IC10</t>
  </si>
  <si>
    <t>SOIC-14_3.9x8.7mm_P1.27mm</t>
  </si>
  <si>
    <t>74LS04</t>
  </si>
  <si>
    <t>IC9,IC6</t>
  </si>
  <si>
    <t>74LS00</t>
  </si>
  <si>
    <t>R4</t>
  </si>
  <si>
    <t>1k</t>
  </si>
  <si>
    <t>C22,C3,C1</t>
  </si>
  <si>
    <t>1u</t>
  </si>
  <si>
    <t>C20,C19</t>
  </si>
  <si>
    <t>2,2u</t>
  </si>
  <si>
    <t>D4</t>
  </si>
  <si>
    <t>D_SMA</t>
  </si>
  <si>
    <t>B120-E3</t>
  </si>
  <si>
    <t>J4</t>
  </si>
  <si>
    <t>BarrelJack_CUI_PJ-102AH_Horizontal</t>
  </si>
  <si>
    <t>Barrel_Jack</t>
  </si>
  <si>
    <t>J3</t>
  </si>
  <si>
    <t>BNC_Amphenol_B6252HB-NPP3G-50_Horizontal</t>
  </si>
  <si>
    <t>Conn_Coaxial</t>
  </si>
  <si>
    <t>A1</t>
  </si>
  <si>
    <t>Arduino_Nano</t>
  </si>
  <si>
    <t>Arduino_Nano_v3.x</t>
  </si>
  <si>
    <t>IC4</t>
  </si>
  <si>
    <t>TO-252-2</t>
  </si>
  <si>
    <t>NCP1117-5.0_TO252</t>
  </si>
  <si>
    <t>IC3</t>
  </si>
  <si>
    <t>NCP1117-12_TO252</t>
  </si>
  <si>
    <t>J1</t>
  </si>
  <si>
    <t>PinSocket_1x03_P2.54mm_Horizontal</t>
  </si>
  <si>
    <t>APD</t>
  </si>
  <si>
    <t>R18,R14,R11</t>
  </si>
  <si>
    <t>220k</t>
  </si>
  <si>
    <t>R17</t>
  </si>
  <si>
    <t>470k</t>
  </si>
  <si>
    <t>R15</t>
  </si>
  <si>
    <t>47k</t>
  </si>
  <si>
    <t>R8</t>
  </si>
  <si>
    <t>32,4k</t>
  </si>
  <si>
    <t>R7</t>
  </si>
  <si>
    <t>20k</t>
  </si>
  <si>
    <t>R6</t>
  </si>
  <si>
    <t>24,9k</t>
  </si>
  <si>
    <t>R5</t>
  </si>
  <si>
    <t>2,2M</t>
  </si>
  <si>
    <t>R3,R2</t>
  </si>
  <si>
    <t>1M</t>
  </si>
  <si>
    <t>R1</t>
  </si>
  <si>
    <t>4k</t>
  </si>
  <si>
    <t>Q4,Q3,Q1</t>
  </si>
  <si>
    <t>SOT-23</t>
  </si>
  <si>
    <t>BSS123</t>
  </si>
  <si>
    <t>Q2</t>
  </si>
  <si>
    <t>BSS84P</t>
  </si>
  <si>
    <t>L1</t>
  </si>
  <si>
    <t>A921CY100MP3</t>
  </si>
  <si>
    <t>#A921CY-101M=P3</t>
  </si>
  <si>
    <t>D3</t>
  </si>
  <si>
    <t>TO-5-2_Window</t>
  </si>
  <si>
    <t>BPX61</t>
  </si>
  <si>
    <t>D2</t>
  </si>
  <si>
    <t>D_SOD-523</t>
  </si>
  <si>
    <t>CMOD6263</t>
  </si>
  <si>
    <t>C5</t>
  </si>
  <si>
    <t>47n/200V</t>
  </si>
  <si>
    <t>C4</t>
  </si>
  <si>
    <t>220n</t>
  </si>
  <si>
    <t>Ilość</t>
  </si>
  <si>
    <t>Link Mouser</t>
  </si>
  <si>
    <t>Cena</t>
  </si>
  <si>
    <t>Wartość</t>
  </si>
  <si>
    <t>https://pl.mouser.com/ProductDetail/Maxim-Integrated/DS1124U-25%2bT/?qs=Jw2w9zrI6w8t7aMDoHx%2FsQ%3D%3D</t>
  </si>
  <si>
    <t>https://pl.mouser.com/ProductDetail/Murata-Electronics/A921CY-100M%3dP3/?qs=AQlKX63v8RsqhxcsXJRECQ%3D%3D</t>
  </si>
  <si>
    <t>Numer</t>
  </si>
  <si>
    <t>https://pl.mouser.com/ProductDetail/Texas-Instruments/TLV3501AIDR/?qs=%2Fha2pyFaduia4GkfaCqf5FLde02rL6MKEWSaE4AfC7YXnCDKpldnAw%3D%3D</t>
  </si>
  <si>
    <t>https://pl.mouser.com/ProductDetail/Maxim-Integrated/MAX6225BCSA%2b/?qs=9Cj2FLRihcPUmc8vhjoNYA%3D%3D</t>
  </si>
  <si>
    <t>https://pl.mouser.com/ProductDetail/ON-Semiconductor/NCP1117DT50G/?qs=Gev%252BmEvV0iaXyZQB7E2Yhg%3D%3D</t>
  </si>
  <si>
    <t>https://pl.mouser.com/ProductDetail/ON-Semiconductor/NCP1117DT12G/?qs=Gev%252BmEvV0iYoIRNZQdQPUQ%3D%3D</t>
  </si>
  <si>
    <t>https://pl.mouser.com/ProductDetail/Maxim-Integrated/MAX1932ETC%2b/?qs=1THa7WoU59FiFrYqs4Rsjg%3D%3D</t>
  </si>
  <si>
    <t>https://pl.mouser.com/ProductDetail/Infineon-Technologies/BSS123N-H6327/?qs=XxWtqqdu%2F9GP0hYRwMx53Q%3D%3D</t>
  </si>
  <si>
    <t>https://pl.mouser.com/ProductDetail/Infineon-Technologies/BSS84P-H6327/?qs=9Vqdt%252BdHmfLeryjI%252BAeU%252BQ%3D%3D</t>
  </si>
  <si>
    <t>https://pl.mouser.com/ProductDetail/Central-Semiconductor/CMOD6263-TR-PBFREE/?qs=u16ybLDytRbnBDQGuzywoA%3D%3D</t>
  </si>
  <si>
    <t>https://pl.mouser.com/ProductDetail/Vishay-Semiconductors/BAT46W-E3-08/?qs=%2Fha2pyFadujbcpDFtxG%252BWPmlAa2aPxZuv2RCLRSGNWML6BpqWcCOWw%3D%3D</t>
  </si>
  <si>
    <t>DNP</t>
  </si>
  <si>
    <t>https://pl.mouser.com/ProductDetail/Texas-Instruments/LM35DZ-NOPB/?qs=QbsRYf82W3F5RpWTxhXHxA%3D%3D</t>
  </si>
  <si>
    <t>https://pl.mouser.com/ProductDetail/Texas-Instruments/SN74LS04D/?qs=spW5eSrOWB5SU864aIGCnw%3D%3D</t>
  </si>
  <si>
    <t>https://pl.mouser.com/ProductDetail/Texas-Instruments/SN74LS00D/?qs=spW5eSrOWB5jG7C41DaQ0Q%3D%3D</t>
  </si>
  <si>
    <t>https://pl.mouser.com/ProductDetail/Wurth-Elektronik/885342208002/?qs=MLItCLRbWswJFNm5N0cTMQ%3D%3D</t>
  </si>
  <si>
    <t>C31,C36,C33,C32,C29,C28,C27,C26,C25,C24,C23,C21,C18,C17,C16,C15,C13,C11,C9,C7,C6,C2</t>
  </si>
  <si>
    <t>https://pl.mouser.com/ProductDetail/TDK/SLF7055T-3R3N3R3-3PF/?qs=%2Fha2pyFadugZMD%252BAbZPT8AuJ2SMfrderrbZoOqbV03mGTmO8aUNQUA%3D%3D</t>
  </si>
  <si>
    <t>https://pl.mouser.com/ProductDetail/KEMET/C1206C472M2REC7210/?qs=55YtniHzbhAOhSmr%2FhVoYg%3D%3D</t>
  </si>
  <si>
    <t>https://pl.mouser.com/ProductDetail/Texas-Instruments/TPS563200DDCT?qs=bT6MOr62zwJvjMcHJvMcSw%3D%3D</t>
  </si>
  <si>
    <t xml:space="preserve">Status </t>
  </si>
  <si>
    <t>OK</t>
  </si>
  <si>
    <t>Brak</t>
  </si>
  <si>
    <t>https://pl.mouser.com/ProductDetail/Samsung-Electro-Mechanics/CL31A226MOCLNNC?qs=X6jEic%2FHinD7wddQJyY%252BZw%3D%3D</t>
  </si>
  <si>
    <t>https://pl.mouser.com/ProductDetail/Vishay-General-Semiconductor/B120-E3-5AT?qs=tdXsjSi%2FIMapBXNqNWK28g%3D%3D</t>
  </si>
  <si>
    <t>https://pl.mouser.com/ProductDetail/Vitelec-Cinch-Connectivity-Solutions/VBI211?qs=HAjLtCtd%252BdbuFYdlw62UuQ%3D%3D</t>
  </si>
  <si>
    <t>LM2736XMKX</t>
  </si>
  <si>
    <t>https://pl.mouser.com/ProductDetail/CUI-Devices/PJ-102AH?qs=%2Fha2pyFaduhCui0fxM2aCCSx7gbpPb9nnGgDSiOMCC8%3D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</si>
</sst>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9"/>
      <color rgb="FF333333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9" fillId="0" borderId="0" xfId="0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48"/>
  <sheetViews>
    <sheetView tabSelected="1" zoomScale="115" zoomScaleNormal="115" workbookViewId="0">
      <selection activeCell="I34" sqref="I34"/>
    </sheetView>
  </sheetViews>
  <sheetFormatPr defaultRowHeight="15" x14ac:dyDescent="0.25"/>
  <cols>
    <col min="1" max="1" width="13.7109375" bestFit="1" customWidth="1"/>
    <col min="2" max="2" width="20.140625" style="4" customWidth="1"/>
    <col min="3" max="3" width="44.28515625" style="6" bestFit="1" customWidth="1"/>
    <col min="4" max="4" width="11" bestFit="1" customWidth="1"/>
    <col min="5" max="5" width="19.42578125" style="2" bestFit="1" customWidth="1"/>
    <col min="6" max="6" width="24.28515625" customWidth="1"/>
    <col min="7" max="7" width="12.140625" bestFit="1" customWidth="1"/>
    <col min="8" max="8" width="16.140625" bestFit="1" customWidth="1"/>
    <col min="9" max="9" width="13.5703125" bestFit="1" customWidth="1"/>
  </cols>
  <sheetData>
    <row r="1" spans="1:11" ht="18.75" x14ac:dyDescent="0.3">
      <c r="A1" s="1" t="s">
        <v>124</v>
      </c>
      <c r="B1" s="3" t="s">
        <v>0</v>
      </c>
      <c r="C1" s="5" t="s">
        <v>1</v>
      </c>
      <c r="D1" s="1" t="s">
        <v>118</v>
      </c>
      <c r="E1" s="1" t="s">
        <v>0</v>
      </c>
      <c r="F1" s="1" t="s">
        <v>119</v>
      </c>
      <c r="G1" s="1" t="s">
        <v>120</v>
      </c>
      <c r="H1" s="1" t="s">
        <v>121</v>
      </c>
      <c r="I1" s="1" t="s">
        <v>143</v>
      </c>
      <c r="K1">
        <f>SUM(H:H)</f>
        <v>176.39000000000001</v>
      </c>
    </row>
    <row r="2" spans="1:11" x14ac:dyDescent="0.25">
      <c r="A2">
        <v>28</v>
      </c>
      <c r="B2" s="4" t="s">
        <v>71</v>
      </c>
      <c r="C2" s="6" t="s">
        <v>72</v>
      </c>
      <c r="D2">
        <v>1</v>
      </c>
      <c r="E2" s="2" t="s">
        <v>73</v>
      </c>
      <c r="H2">
        <f t="shared" ref="H2:H12" si="0">D2*G2</f>
        <v>0</v>
      </c>
    </row>
    <row r="3" spans="1:11" x14ac:dyDescent="0.25">
      <c r="A3">
        <v>24</v>
      </c>
      <c r="B3" s="4" t="s">
        <v>60</v>
      </c>
      <c r="C3" s="6" t="s">
        <v>9</v>
      </c>
      <c r="D3">
        <v>2</v>
      </c>
      <c r="E3" s="2" t="s">
        <v>61</v>
      </c>
      <c r="H3">
        <f t="shared" si="0"/>
        <v>0</v>
      </c>
    </row>
    <row r="4" spans="1:11" x14ac:dyDescent="0.25">
      <c r="A4">
        <v>23</v>
      </c>
      <c r="B4" s="4" t="s">
        <v>58</v>
      </c>
      <c r="C4" s="6" t="s">
        <v>9</v>
      </c>
      <c r="D4">
        <v>3</v>
      </c>
      <c r="E4" s="2" t="s">
        <v>59</v>
      </c>
      <c r="H4">
        <f t="shared" si="0"/>
        <v>0</v>
      </c>
    </row>
    <row r="5" spans="1:11" x14ac:dyDescent="0.25">
      <c r="A5">
        <v>17</v>
      </c>
      <c r="B5" s="4" t="s">
        <v>42</v>
      </c>
      <c r="C5" s="6" t="s">
        <v>43</v>
      </c>
      <c r="D5">
        <v>5</v>
      </c>
      <c r="E5" s="2" t="s">
        <v>44</v>
      </c>
      <c r="H5">
        <f t="shared" si="0"/>
        <v>0</v>
      </c>
    </row>
    <row r="6" spans="1:11" ht="75" hidden="1" x14ac:dyDescent="0.25">
      <c r="A6">
        <v>4</v>
      </c>
      <c r="B6" s="4" t="s">
        <v>139</v>
      </c>
      <c r="C6" s="6" t="s">
        <v>9</v>
      </c>
      <c r="D6">
        <v>22</v>
      </c>
      <c r="E6" t="s">
        <v>10</v>
      </c>
      <c r="F6" t="s">
        <v>138</v>
      </c>
      <c r="G6">
        <v>0.51</v>
      </c>
      <c r="H6">
        <f t="shared" si="0"/>
        <v>11.22</v>
      </c>
      <c r="I6" t="s">
        <v>144</v>
      </c>
    </row>
    <row r="7" spans="1:11" hidden="1" x14ac:dyDescent="0.25">
      <c r="A7">
        <v>8</v>
      </c>
      <c r="B7" s="4" t="s">
        <v>19</v>
      </c>
      <c r="C7" s="6" t="s">
        <v>9</v>
      </c>
      <c r="D7">
        <v>2</v>
      </c>
      <c r="E7" s="2" t="s">
        <v>20</v>
      </c>
      <c r="F7" t="s">
        <v>146</v>
      </c>
      <c r="G7">
        <v>1.1000000000000001</v>
      </c>
      <c r="H7">
        <f t="shared" si="0"/>
        <v>2.2000000000000002</v>
      </c>
      <c r="I7" t="s">
        <v>144</v>
      </c>
    </row>
    <row r="8" spans="1:11" x14ac:dyDescent="0.25">
      <c r="A8">
        <v>48</v>
      </c>
      <c r="B8" s="4" t="s">
        <v>116</v>
      </c>
      <c r="C8" s="6" t="s">
        <v>9</v>
      </c>
      <c r="D8">
        <v>1</v>
      </c>
      <c r="E8" s="2" t="s">
        <v>117</v>
      </c>
      <c r="H8">
        <f t="shared" si="0"/>
        <v>0</v>
      </c>
    </row>
    <row r="9" spans="1:11" hidden="1" x14ac:dyDescent="0.25">
      <c r="A9">
        <v>47</v>
      </c>
      <c r="B9" s="4" t="s">
        <v>114</v>
      </c>
      <c r="C9" s="6" t="s">
        <v>9</v>
      </c>
      <c r="D9">
        <v>1</v>
      </c>
      <c r="E9" s="2" t="s">
        <v>115</v>
      </c>
      <c r="F9" t="s">
        <v>141</v>
      </c>
      <c r="G9">
        <v>0.71</v>
      </c>
      <c r="H9">
        <f t="shared" si="0"/>
        <v>0.71</v>
      </c>
      <c r="I9" t="s">
        <v>144</v>
      </c>
    </row>
    <row r="10" spans="1:11" hidden="1" x14ac:dyDescent="0.25">
      <c r="A10">
        <v>13</v>
      </c>
      <c r="B10" s="4" t="s">
        <v>31</v>
      </c>
      <c r="C10" s="6" t="s">
        <v>32</v>
      </c>
      <c r="D10">
        <v>1</v>
      </c>
      <c r="E10" t="s">
        <v>33</v>
      </c>
      <c r="F10" t="s">
        <v>133</v>
      </c>
      <c r="G10">
        <v>1.38</v>
      </c>
      <c r="H10">
        <f t="shared" si="0"/>
        <v>1.38</v>
      </c>
      <c r="I10" t="s">
        <v>144</v>
      </c>
    </row>
    <row r="11" spans="1:11" x14ac:dyDescent="0.25">
      <c r="A11">
        <v>3</v>
      </c>
      <c r="B11" s="4" t="s">
        <v>6</v>
      </c>
      <c r="C11" s="6" t="s">
        <v>7</v>
      </c>
      <c r="D11">
        <v>4</v>
      </c>
      <c r="E11" s="2" t="s">
        <v>8</v>
      </c>
      <c r="H11">
        <f t="shared" si="0"/>
        <v>0</v>
      </c>
    </row>
    <row r="12" spans="1:11" hidden="1" x14ac:dyDescent="0.25">
      <c r="A12">
        <v>45</v>
      </c>
      <c r="B12" s="4" t="s">
        <v>111</v>
      </c>
      <c r="C12" s="6" t="s">
        <v>112</v>
      </c>
      <c r="D12">
        <v>1</v>
      </c>
      <c r="E12" t="s">
        <v>113</v>
      </c>
      <c r="F12" t="s">
        <v>132</v>
      </c>
      <c r="G12">
        <v>1.72</v>
      </c>
      <c r="H12">
        <f t="shared" si="0"/>
        <v>1.72</v>
      </c>
      <c r="I12" t="s">
        <v>144</v>
      </c>
    </row>
    <row r="13" spans="1:11" x14ac:dyDescent="0.25">
      <c r="A13">
        <v>44</v>
      </c>
      <c r="B13" s="4" t="s">
        <v>108</v>
      </c>
      <c r="C13" s="6" t="s">
        <v>109</v>
      </c>
      <c r="D13">
        <v>1</v>
      </c>
      <c r="E13" s="2" t="s">
        <v>110</v>
      </c>
      <c r="F13" t="s">
        <v>134</v>
      </c>
      <c r="H13" t="s">
        <v>134</v>
      </c>
    </row>
    <row r="14" spans="1:11" hidden="1" x14ac:dyDescent="0.25">
      <c r="A14">
        <v>25</v>
      </c>
      <c r="B14" s="4" t="s">
        <v>62</v>
      </c>
      <c r="C14" s="6" t="s">
        <v>63</v>
      </c>
      <c r="D14">
        <v>1</v>
      </c>
      <c r="E14" s="2" t="s">
        <v>64</v>
      </c>
      <c r="F14" t="s">
        <v>147</v>
      </c>
      <c r="G14">
        <v>1.41</v>
      </c>
      <c r="H14">
        <f t="shared" ref="H14:H33" si="1">D14*G14</f>
        <v>1.41</v>
      </c>
      <c r="I14" t="s">
        <v>144</v>
      </c>
    </row>
    <row r="15" spans="1:11" x14ac:dyDescent="0.25">
      <c r="A15">
        <v>14</v>
      </c>
      <c r="B15" s="4" t="s">
        <v>34</v>
      </c>
      <c r="C15" s="6" t="s">
        <v>35</v>
      </c>
      <c r="D15">
        <v>4</v>
      </c>
      <c r="E15" s="2" t="s">
        <v>8</v>
      </c>
      <c r="H15">
        <f t="shared" si="1"/>
        <v>0</v>
      </c>
    </row>
    <row r="16" spans="1:11" hidden="1" x14ac:dyDescent="0.25">
      <c r="A16">
        <v>12</v>
      </c>
      <c r="B16" s="4" t="s">
        <v>28</v>
      </c>
      <c r="C16" s="6" t="s">
        <v>29</v>
      </c>
      <c r="D16">
        <v>1</v>
      </c>
      <c r="E16" t="s">
        <v>30</v>
      </c>
      <c r="F16" t="s">
        <v>129</v>
      </c>
      <c r="G16">
        <v>33.700000000000003</v>
      </c>
      <c r="H16">
        <f t="shared" si="1"/>
        <v>33.700000000000003</v>
      </c>
      <c r="I16" t="s">
        <v>144</v>
      </c>
    </row>
    <row r="17" spans="1:10" hidden="1" x14ac:dyDescent="0.25">
      <c r="A17">
        <v>20</v>
      </c>
      <c r="B17" s="4" t="s">
        <v>51</v>
      </c>
      <c r="C17" s="6" t="s">
        <v>52</v>
      </c>
      <c r="D17">
        <v>1</v>
      </c>
      <c r="E17" t="s">
        <v>53</v>
      </c>
      <c r="F17" t="s">
        <v>136</v>
      </c>
      <c r="G17">
        <v>3.17</v>
      </c>
      <c r="H17">
        <f t="shared" si="1"/>
        <v>3.17</v>
      </c>
      <c r="I17" t="s">
        <v>144</v>
      </c>
    </row>
    <row r="18" spans="1:10" x14ac:dyDescent="0.25">
      <c r="A18">
        <v>19</v>
      </c>
      <c r="B18" s="4" t="s">
        <v>48</v>
      </c>
      <c r="C18" s="6" t="s">
        <v>49</v>
      </c>
      <c r="D18">
        <v>1</v>
      </c>
      <c r="E18" t="s">
        <v>50</v>
      </c>
      <c r="F18" t="s">
        <v>135</v>
      </c>
      <c r="G18">
        <v>7.36</v>
      </c>
      <c r="H18">
        <f t="shared" si="1"/>
        <v>7.36</v>
      </c>
      <c r="I18" t="s">
        <v>145</v>
      </c>
    </row>
    <row r="19" spans="1:10" hidden="1" x14ac:dyDescent="0.25">
      <c r="A19">
        <v>5</v>
      </c>
      <c r="B19" s="4" t="s">
        <v>11</v>
      </c>
      <c r="C19" s="6" t="s">
        <v>12</v>
      </c>
      <c r="D19">
        <v>1</v>
      </c>
      <c r="E19" t="s">
        <v>13</v>
      </c>
      <c r="F19" t="s">
        <v>142</v>
      </c>
      <c r="G19">
        <v>4.2300000000000004</v>
      </c>
      <c r="H19">
        <f t="shared" si="1"/>
        <v>4.2300000000000004</v>
      </c>
      <c r="I19" t="s">
        <v>144</v>
      </c>
      <c r="J19" s="8" t="s">
        <v>149</v>
      </c>
    </row>
    <row r="20" spans="1:10" hidden="1" x14ac:dyDescent="0.25">
      <c r="A20">
        <v>11</v>
      </c>
      <c r="B20" s="4" t="s">
        <v>25</v>
      </c>
      <c r="C20" s="6" t="s">
        <v>26</v>
      </c>
      <c r="D20">
        <v>1</v>
      </c>
      <c r="E20" t="s">
        <v>27</v>
      </c>
      <c r="F20" t="s">
        <v>125</v>
      </c>
      <c r="G20">
        <v>10.08</v>
      </c>
      <c r="H20">
        <f t="shared" si="1"/>
        <v>10.08</v>
      </c>
      <c r="I20" t="s">
        <v>144</v>
      </c>
    </row>
    <row r="21" spans="1:10" hidden="1" x14ac:dyDescent="0.25">
      <c r="A21">
        <v>30</v>
      </c>
      <c r="B21" s="4" t="s">
        <v>77</v>
      </c>
      <c r="C21" s="6" t="s">
        <v>75</v>
      </c>
      <c r="D21">
        <v>1</v>
      </c>
      <c r="E21" t="s">
        <v>78</v>
      </c>
      <c r="F21" t="s">
        <v>128</v>
      </c>
      <c r="G21">
        <v>1.72</v>
      </c>
      <c r="H21">
        <f t="shared" si="1"/>
        <v>1.72</v>
      </c>
      <c r="I21" t="s">
        <v>144</v>
      </c>
    </row>
    <row r="22" spans="1:10" hidden="1" x14ac:dyDescent="0.25">
      <c r="A22">
        <v>29</v>
      </c>
      <c r="B22" s="4" t="s">
        <v>74</v>
      </c>
      <c r="C22" s="6" t="s">
        <v>75</v>
      </c>
      <c r="D22">
        <v>1</v>
      </c>
      <c r="E22" t="s">
        <v>76</v>
      </c>
      <c r="F22" t="s">
        <v>127</v>
      </c>
      <c r="G22">
        <v>1.53</v>
      </c>
      <c r="H22">
        <f t="shared" si="1"/>
        <v>1.53</v>
      </c>
      <c r="I22" t="s">
        <v>144</v>
      </c>
    </row>
    <row r="23" spans="1:10" hidden="1" x14ac:dyDescent="0.25">
      <c r="A23">
        <v>16</v>
      </c>
      <c r="B23" s="4" t="s">
        <v>39</v>
      </c>
      <c r="C23" s="6" t="s">
        <v>40</v>
      </c>
      <c r="D23">
        <v>1</v>
      </c>
      <c r="E23" t="s">
        <v>41</v>
      </c>
      <c r="F23" t="s">
        <v>126</v>
      </c>
      <c r="G23">
        <v>18.96</v>
      </c>
      <c r="H23">
        <f t="shared" si="1"/>
        <v>18.96</v>
      </c>
      <c r="I23" t="s">
        <v>144</v>
      </c>
    </row>
    <row r="24" spans="1:10" hidden="1" x14ac:dyDescent="0.25">
      <c r="A24">
        <v>10</v>
      </c>
      <c r="B24" s="4" t="s">
        <v>22</v>
      </c>
      <c r="C24" s="6" t="s">
        <v>23</v>
      </c>
      <c r="D24">
        <v>2</v>
      </c>
      <c r="E24" t="s">
        <v>24</v>
      </c>
      <c r="F24" t="s">
        <v>122</v>
      </c>
      <c r="G24">
        <v>19.36</v>
      </c>
      <c r="H24">
        <f t="shared" si="1"/>
        <v>38.72</v>
      </c>
      <c r="I24" t="s">
        <v>144</v>
      </c>
    </row>
    <row r="25" spans="1:10" hidden="1" x14ac:dyDescent="0.25">
      <c r="A25">
        <v>21</v>
      </c>
      <c r="B25" s="4" t="s">
        <v>54</v>
      </c>
      <c r="C25" s="6" t="s">
        <v>52</v>
      </c>
      <c r="D25">
        <v>2</v>
      </c>
      <c r="E25" t="s">
        <v>55</v>
      </c>
      <c r="F25" t="s">
        <v>137</v>
      </c>
      <c r="G25">
        <v>2.64</v>
      </c>
      <c r="H25">
        <f t="shared" si="1"/>
        <v>5.28</v>
      </c>
      <c r="I25" t="s">
        <v>144</v>
      </c>
    </row>
    <row r="26" spans="1:10" x14ac:dyDescent="0.25">
      <c r="A26">
        <v>31</v>
      </c>
      <c r="B26" s="4" t="s">
        <v>79</v>
      </c>
      <c r="C26" s="6" t="s">
        <v>80</v>
      </c>
      <c r="D26">
        <v>1</v>
      </c>
      <c r="E26" s="2" t="s">
        <v>81</v>
      </c>
      <c r="H26">
        <f t="shared" si="1"/>
        <v>0</v>
      </c>
    </row>
    <row r="27" spans="1:10" x14ac:dyDescent="0.25">
      <c r="A27">
        <v>18</v>
      </c>
      <c r="B27" s="4" t="s">
        <v>45</v>
      </c>
      <c r="C27" s="6" t="s">
        <v>46</v>
      </c>
      <c r="D27">
        <v>1</v>
      </c>
      <c r="E27" s="2" t="s">
        <v>47</v>
      </c>
      <c r="H27">
        <f t="shared" si="1"/>
        <v>0</v>
      </c>
    </row>
    <row r="28" spans="1:10" hidden="1" x14ac:dyDescent="0.25">
      <c r="A28">
        <v>27</v>
      </c>
      <c r="B28" s="4" t="s">
        <v>68</v>
      </c>
      <c r="C28" s="6" t="s">
        <v>69</v>
      </c>
      <c r="D28">
        <v>1</v>
      </c>
      <c r="E28" s="2" t="s">
        <v>70</v>
      </c>
      <c r="F28" t="s">
        <v>148</v>
      </c>
      <c r="G28">
        <v>16.79</v>
      </c>
      <c r="H28">
        <f t="shared" si="1"/>
        <v>16.79</v>
      </c>
      <c r="I28" t="s">
        <v>144</v>
      </c>
    </row>
    <row r="29" spans="1:10" x14ac:dyDescent="0.25">
      <c r="A29">
        <v>26</v>
      </c>
      <c r="B29" s="4" t="s">
        <v>65</v>
      </c>
      <c r="C29" s="6" t="s">
        <v>66</v>
      </c>
      <c r="D29">
        <v>1</v>
      </c>
      <c r="E29" s="2" t="s">
        <v>67</v>
      </c>
      <c r="F29" t="s">
        <v>150</v>
      </c>
      <c r="G29">
        <v>2.82</v>
      </c>
      <c r="H29">
        <f t="shared" si="1"/>
        <v>2.82</v>
      </c>
      <c r="I29" t="s">
        <v>144</v>
      </c>
    </row>
    <row r="30" spans="1:10" hidden="1" x14ac:dyDescent="0.25">
      <c r="A30">
        <v>43</v>
      </c>
      <c r="B30" s="4" t="s">
        <v>105</v>
      </c>
      <c r="C30" s="6" t="s">
        <v>106</v>
      </c>
      <c r="D30">
        <v>1</v>
      </c>
      <c r="E30" t="s">
        <v>107</v>
      </c>
      <c r="F30" t="s">
        <v>123</v>
      </c>
      <c r="G30">
        <v>4.49</v>
      </c>
      <c r="H30">
        <f t="shared" si="1"/>
        <v>4.49</v>
      </c>
      <c r="I30" t="s">
        <v>144</v>
      </c>
    </row>
    <row r="31" spans="1:10" hidden="1" x14ac:dyDescent="0.25">
      <c r="A31" s="7">
        <v>7</v>
      </c>
      <c r="B31" s="7" t="s">
        <v>16</v>
      </c>
      <c r="C31" s="7" t="s">
        <v>17</v>
      </c>
      <c r="D31" s="7">
        <v>1</v>
      </c>
      <c r="E31" s="7" t="s">
        <v>18</v>
      </c>
      <c r="F31" t="s">
        <v>140</v>
      </c>
      <c r="G31">
        <v>3.8</v>
      </c>
      <c r="H31">
        <f t="shared" si="1"/>
        <v>3.8</v>
      </c>
      <c r="I31" t="s">
        <v>144</v>
      </c>
    </row>
    <row r="32" spans="1:10" hidden="1" x14ac:dyDescent="0.25">
      <c r="A32">
        <v>42</v>
      </c>
      <c r="B32" s="4" t="s">
        <v>103</v>
      </c>
      <c r="C32" s="6" t="s">
        <v>101</v>
      </c>
      <c r="D32">
        <v>1</v>
      </c>
      <c r="E32" t="s">
        <v>104</v>
      </c>
      <c r="F32" t="s">
        <v>131</v>
      </c>
      <c r="G32">
        <v>1.53</v>
      </c>
      <c r="H32">
        <f t="shared" si="1"/>
        <v>1.53</v>
      </c>
      <c r="I32" t="s">
        <v>144</v>
      </c>
    </row>
    <row r="33" spans="1:9" hidden="1" x14ac:dyDescent="0.25">
      <c r="A33">
        <v>41</v>
      </c>
      <c r="B33" s="4" t="s">
        <v>100</v>
      </c>
      <c r="C33" s="6" t="s">
        <v>101</v>
      </c>
      <c r="D33">
        <v>3</v>
      </c>
      <c r="E33" t="s">
        <v>102</v>
      </c>
      <c r="F33" t="s">
        <v>130</v>
      </c>
      <c r="G33">
        <v>1.19</v>
      </c>
      <c r="H33">
        <f t="shared" si="1"/>
        <v>3.57</v>
      </c>
      <c r="I33" t="s">
        <v>144</v>
      </c>
    </row>
    <row r="34" spans="1:9" x14ac:dyDescent="0.25">
      <c r="A34">
        <v>15</v>
      </c>
      <c r="B34" s="4" t="s">
        <v>36</v>
      </c>
      <c r="C34" s="6" t="s">
        <v>37</v>
      </c>
      <c r="D34">
        <v>1</v>
      </c>
      <c r="E34" t="s">
        <v>38</v>
      </c>
      <c r="F34" t="s">
        <v>134</v>
      </c>
      <c r="H34" t="s">
        <v>134</v>
      </c>
    </row>
    <row r="35" spans="1:9" x14ac:dyDescent="0.25">
      <c r="A35">
        <v>40</v>
      </c>
      <c r="B35" s="4" t="s">
        <v>98</v>
      </c>
      <c r="C35" s="6" t="s">
        <v>3</v>
      </c>
      <c r="D35">
        <v>1</v>
      </c>
      <c r="E35" s="2" t="s">
        <v>99</v>
      </c>
      <c r="H35">
        <f>D35*G35</f>
        <v>0</v>
      </c>
    </row>
    <row r="36" spans="1:9" x14ac:dyDescent="0.25">
      <c r="A36">
        <v>34</v>
      </c>
      <c r="B36" s="4" t="s">
        <v>86</v>
      </c>
      <c r="C36" s="6" t="s">
        <v>3</v>
      </c>
      <c r="D36">
        <v>1</v>
      </c>
      <c r="E36" s="2" t="s">
        <v>87</v>
      </c>
      <c r="H36">
        <f>D36*G36</f>
        <v>0</v>
      </c>
    </row>
    <row r="37" spans="1:9" x14ac:dyDescent="0.25">
      <c r="A37">
        <v>33</v>
      </c>
      <c r="B37" s="4" t="s">
        <v>84</v>
      </c>
      <c r="C37" s="6" t="s">
        <v>3</v>
      </c>
      <c r="D37">
        <v>1</v>
      </c>
      <c r="E37" s="2" t="s">
        <v>85</v>
      </c>
      <c r="H37">
        <f>D37*G37</f>
        <v>0</v>
      </c>
    </row>
    <row r="38" spans="1:9" x14ac:dyDescent="0.25">
      <c r="A38">
        <v>32</v>
      </c>
      <c r="B38" s="4" t="s">
        <v>82</v>
      </c>
      <c r="C38" s="6" t="s">
        <v>3</v>
      </c>
      <c r="D38">
        <v>3</v>
      </c>
      <c r="E38" s="2" t="s">
        <v>83</v>
      </c>
      <c r="H38">
        <f>D38*G38</f>
        <v>0</v>
      </c>
    </row>
    <row r="39" spans="1:9" x14ac:dyDescent="0.25">
      <c r="A39">
        <v>9</v>
      </c>
      <c r="B39" s="4" t="s">
        <v>21</v>
      </c>
      <c r="C39" s="6" t="s">
        <v>3</v>
      </c>
      <c r="D39">
        <v>1</v>
      </c>
      <c r="E39">
        <v>10</v>
      </c>
      <c r="F39" t="s">
        <v>134</v>
      </c>
      <c r="H39" t="s">
        <v>134</v>
      </c>
    </row>
    <row r="40" spans="1:9" x14ac:dyDescent="0.25">
      <c r="A40">
        <v>6</v>
      </c>
      <c r="B40" s="4" t="s">
        <v>14</v>
      </c>
      <c r="C40" s="6" t="s">
        <v>3</v>
      </c>
      <c r="D40">
        <v>5</v>
      </c>
      <c r="E40" s="2" t="s">
        <v>15</v>
      </c>
      <c r="H40">
        <f t="shared" ref="H40:H48" si="2">D40*G40</f>
        <v>0</v>
      </c>
    </row>
    <row r="41" spans="1:9" ht="30" x14ac:dyDescent="0.25">
      <c r="A41">
        <v>2</v>
      </c>
      <c r="B41" s="4" t="s">
        <v>4</v>
      </c>
      <c r="C41" s="6" t="s">
        <v>5</v>
      </c>
      <c r="D41">
        <v>8</v>
      </c>
      <c r="E41" s="2">
        <v>220</v>
      </c>
      <c r="H41">
        <f t="shared" si="2"/>
        <v>0</v>
      </c>
    </row>
    <row r="42" spans="1:9" x14ac:dyDescent="0.25">
      <c r="A42">
        <v>1</v>
      </c>
      <c r="B42" s="4" t="s">
        <v>2</v>
      </c>
      <c r="C42" s="6" t="s">
        <v>3</v>
      </c>
      <c r="D42">
        <v>1</v>
      </c>
      <c r="E42" s="2">
        <v>0</v>
      </c>
      <c r="H42">
        <f t="shared" si="2"/>
        <v>0</v>
      </c>
    </row>
    <row r="43" spans="1:9" x14ac:dyDescent="0.25">
      <c r="A43">
        <v>39</v>
      </c>
      <c r="B43" s="4" t="s">
        <v>96</v>
      </c>
      <c r="C43" s="6" t="s">
        <v>3</v>
      </c>
      <c r="D43">
        <v>2</v>
      </c>
      <c r="E43" s="2" t="s">
        <v>97</v>
      </c>
      <c r="H43">
        <f t="shared" si="2"/>
        <v>0</v>
      </c>
    </row>
    <row r="44" spans="1:9" x14ac:dyDescent="0.25">
      <c r="A44">
        <v>22</v>
      </c>
      <c r="B44" s="4" t="s">
        <v>56</v>
      </c>
      <c r="C44" s="6" t="s">
        <v>3</v>
      </c>
      <c r="D44">
        <v>1</v>
      </c>
      <c r="E44" s="2" t="s">
        <v>57</v>
      </c>
      <c r="H44">
        <f t="shared" si="2"/>
        <v>0</v>
      </c>
    </row>
    <row r="45" spans="1:9" x14ac:dyDescent="0.25">
      <c r="A45">
        <v>38</v>
      </c>
      <c r="B45" s="4" t="s">
        <v>94</v>
      </c>
      <c r="C45" s="6" t="s">
        <v>3</v>
      </c>
      <c r="D45">
        <v>1</v>
      </c>
      <c r="E45" s="2" t="s">
        <v>95</v>
      </c>
      <c r="H45">
        <f t="shared" si="2"/>
        <v>0</v>
      </c>
    </row>
    <row r="46" spans="1:9" x14ac:dyDescent="0.25">
      <c r="A46">
        <v>37</v>
      </c>
      <c r="B46" s="4" t="s">
        <v>92</v>
      </c>
      <c r="C46" s="6" t="s">
        <v>3</v>
      </c>
      <c r="D46">
        <v>1</v>
      </c>
      <c r="E46" s="2" t="s">
        <v>93</v>
      </c>
      <c r="H46">
        <f t="shared" si="2"/>
        <v>0</v>
      </c>
    </row>
    <row r="47" spans="1:9" x14ac:dyDescent="0.25">
      <c r="A47">
        <v>36</v>
      </c>
      <c r="B47" s="4" t="s">
        <v>90</v>
      </c>
      <c r="C47" s="6" t="s">
        <v>3</v>
      </c>
      <c r="D47">
        <v>1</v>
      </c>
      <c r="E47" s="2" t="s">
        <v>91</v>
      </c>
      <c r="H47">
        <f t="shared" si="2"/>
        <v>0</v>
      </c>
    </row>
    <row r="48" spans="1:9" x14ac:dyDescent="0.25">
      <c r="A48">
        <v>35</v>
      </c>
      <c r="B48" s="4" t="s">
        <v>88</v>
      </c>
      <c r="C48" s="6" t="s">
        <v>3</v>
      </c>
      <c r="D48">
        <v>1</v>
      </c>
      <c r="E48" s="2" t="s">
        <v>89</v>
      </c>
      <c r="H48">
        <f t="shared" si="2"/>
        <v>0</v>
      </c>
    </row>
  </sheetData>
  <autoFilter ref="A1:I48">
    <filterColumn colId="8">
      <filters>
        <filter val="Brak"/>
      </filters>
    </filterColumn>
  </autoFilter>
  <sortState ref="A2:H49">
    <sortCondition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OpenSPAD_BoM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Nikodem</dc:creator>
  <cp:lastModifiedBy>Nikodem</cp:lastModifiedBy>
  <dcterms:created xsi:type="dcterms:W3CDTF">2021-01-31T11:10:05Z</dcterms:created>
  <dcterms:modified xsi:type="dcterms:W3CDTF">2021-11-25T16:49:00Z</dcterms:modified>
</cp:coreProperties>
</file>